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n11\Documents\My_Learning_hub\Pump_BA\"/>
    </mc:Choice>
  </mc:AlternateContent>
  <xr:revisionPtr revIDLastSave="0" documentId="13_ncr:1_{67E5DF92-D833-4DF5-B4F5-1AF88867107F}" xr6:coauthVersionLast="47" xr6:coauthVersionMax="47" xr10:uidLastSave="{00000000-0000-0000-0000-000000000000}"/>
  <bookViews>
    <workbookView xWindow="-110" yWindow="-110" windowWidth="19420" windowHeight="10300" activeTab="2" xr2:uid="{8B705670-C577-422D-825C-0F7F7B1EAFD8}"/>
  </bookViews>
  <sheets>
    <sheet name="IB - Data" sheetId="1" r:id="rId1"/>
    <sheet name="OB - Data" sheetId="4" r:id="rId2"/>
    <sheet name="MALP List - Data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<sst xmlns="http://schemas.openxmlformats.org/spreadsheetml/2006/main" count="343" uniqueCount="214">
  <si>
    <t>Customer Group</t>
  </si>
  <si>
    <t>Pump Location</t>
  </si>
  <si>
    <t>City</t>
  </si>
  <si>
    <t>State</t>
  </si>
  <si>
    <t>Country</t>
  </si>
  <si>
    <t>Region</t>
  </si>
  <si>
    <t>Pump Status</t>
  </si>
  <si>
    <t>Qty</t>
  </si>
  <si>
    <t>Invoice Date</t>
  </si>
  <si>
    <t>Plant Status</t>
  </si>
  <si>
    <t>Pumps Industry</t>
  </si>
  <si>
    <t>Pump Model</t>
  </si>
  <si>
    <t>Concatenate</t>
  </si>
  <si>
    <t>Bill To Code</t>
  </si>
  <si>
    <t>Part Description</t>
  </si>
  <si>
    <t>Plant</t>
  </si>
  <si>
    <t>Column Name</t>
  </si>
  <si>
    <t>Description</t>
  </si>
  <si>
    <t>Data Type</t>
  </si>
  <si>
    <t>Example Values</t>
  </si>
  <si>
    <t>Unique identifier for pump record</t>
  </si>
  <si>
    <t>Unique pump equipment serial number</t>
  </si>
  <si>
    <t>PUMP12345</t>
  </si>
  <si>
    <t>Destination where pump is shipped</t>
  </si>
  <si>
    <t>Name of customer receiving equipment</t>
  </si>
  <si>
    <t>Customer segment/grouping</t>
  </si>
  <si>
    <t>Physical installation site</t>
  </si>
  <si>
    <t>City where pump is shipped/installed</t>
  </si>
  <si>
    <t>State where pump is installed</t>
  </si>
  <si>
    <t>Business region classification</t>
  </si>
  <si>
    <t>Assigned service engineer</t>
  </si>
  <si>
    <t>Indent No.</t>
  </si>
  <si>
    <t>Internal indent request number</t>
  </si>
  <si>
    <t>Operational status of pump</t>
  </si>
  <si>
    <t>Date of invoice issued</t>
  </si>
  <si>
    <t>Invoice No.</t>
  </si>
  <si>
    <t>Invoice document number</t>
  </si>
  <si>
    <t>Current plant status</t>
  </si>
  <si>
    <t>Application for Pumps</t>
  </si>
  <si>
    <t>Original application</t>
  </si>
  <si>
    <t>Industry of use</t>
  </si>
  <si>
    <t>Model number of pump</t>
  </si>
  <si>
    <t>Code of billing entity</t>
  </si>
  <si>
    <t>Ship To Code</t>
  </si>
  <si>
    <t>Part Code</t>
  </si>
  <si>
    <t>HSP-500</t>
  </si>
  <si>
    <t>2 K Technology</t>
  </si>
  <si>
    <t>JSPL/ Aditya Birla</t>
  </si>
  <si>
    <t>Pellete Plant</t>
  </si>
  <si>
    <t>Bangalore</t>
  </si>
  <si>
    <t>Karnataka</t>
  </si>
  <si>
    <t>India</t>
  </si>
  <si>
    <t>Nikhil Hardikar</t>
  </si>
  <si>
    <t>AL057/05/21</t>
  </si>
  <si>
    <t>Operational, Inactive</t>
  </si>
  <si>
    <t>RJ2324002859</t>
  </si>
  <si>
    <t>Mine Dewatering</t>
  </si>
  <si>
    <t>Number</t>
  </si>
  <si>
    <t>General</t>
  </si>
  <si>
    <t>Equipment Serial Number</t>
  </si>
  <si>
    <t>Text</t>
  </si>
  <si>
    <t>Short Date</t>
  </si>
  <si>
    <t>LowHM100</t>
  </si>
  <si>
    <t>Custom</t>
  </si>
  <si>
    <t>Bill To State</t>
  </si>
  <si>
    <t>Sales Order No</t>
  </si>
  <si>
    <t>PD720097</t>
  </si>
  <si>
    <t>Number of Pumps</t>
  </si>
  <si>
    <t>IN04</t>
  </si>
  <si>
    <t>South/ North</t>
  </si>
  <si>
    <t>Mining, Oil &amp; Gas</t>
  </si>
  <si>
    <t>Source</t>
  </si>
  <si>
    <t>SAP</t>
  </si>
  <si>
    <t>Manual</t>
  </si>
  <si>
    <t>OB</t>
  </si>
  <si>
    <t>Service Person</t>
  </si>
  <si>
    <t>Pump Industry</t>
  </si>
  <si>
    <t>Total Value - SAP</t>
  </si>
  <si>
    <t>Exchange Rate</t>
  </si>
  <si>
    <t>SO Date</t>
  </si>
  <si>
    <t>Item No</t>
  </si>
  <si>
    <t>Order Booking reference identifier or dataset name</t>
  </si>
  <si>
    <t>Customer Name</t>
  </si>
  <si>
    <t>Name of the customer placing the order</t>
  </si>
  <si>
    <t>SAP/CRM</t>
  </si>
  <si>
    <t>Category or segment of the customer</t>
  </si>
  <si>
    <t>Status code of the manufacturing plant</t>
  </si>
  <si>
    <t>SAP / Plant Master</t>
  </si>
  <si>
    <t>City where order is billed or shipped</t>
  </si>
  <si>
    <t>Mumbai</t>
  </si>
  <si>
    <t>SAP Customer Master</t>
  </si>
  <si>
    <t>State of the customer</t>
  </si>
  <si>
    <t>Maharashtra</t>
  </si>
  <si>
    <t>Country of the customer</t>
  </si>
  <si>
    <t>Business region or sales zone</t>
  </si>
  <si>
    <t>West, North, South</t>
  </si>
  <si>
    <t>Defined by Company</t>
  </si>
  <si>
    <t>Assigned Sales/Service representative</t>
  </si>
  <si>
    <t>CRM / Sales Assignments</t>
  </si>
  <si>
    <t>Industry category related to pump usage</t>
  </si>
  <si>
    <t>SAP Product Mapping</t>
  </si>
  <si>
    <t>Order total value in SAP base currency</t>
  </si>
  <si>
    <t>Numeric (Decimal)</t>
  </si>
  <si>
    <t>SAP / Finance</t>
  </si>
  <si>
    <t>Total Value - INR</t>
  </si>
  <si>
    <t>Converted order value in INR</t>
  </si>
  <si>
    <t>Calculated</t>
  </si>
  <si>
    <t>Billing customer code</t>
  </si>
  <si>
    <t>Bill Customer Name</t>
  </si>
  <si>
    <t>Name of the billing customer</t>
  </si>
  <si>
    <t>State of billing customer</t>
  </si>
  <si>
    <t>Delivery/Shipping customer code</t>
  </si>
  <si>
    <t>PG (Product Group)</t>
  </si>
  <si>
    <t>Product group/category</t>
  </si>
  <si>
    <t>SAP Product Master</t>
  </si>
  <si>
    <t>Unique sales order number</t>
  </si>
  <si>
    <t>Date when sales order was created</t>
  </si>
  <si>
    <t>Unique item/part identifier</t>
  </si>
  <si>
    <t>SAP Material Master</t>
  </si>
  <si>
    <t>Description of the item ordered</t>
  </si>
  <si>
    <t>Centrifugal Pump</t>
  </si>
  <si>
    <t>Line item number within the order</t>
  </si>
  <si>
    <t>Manufacturing or dispatch plant location</t>
  </si>
  <si>
    <t>JSPL</t>
  </si>
  <si>
    <t>Order Booking</t>
  </si>
  <si>
    <t>Tata Steel</t>
  </si>
  <si>
    <t>Operationl, Inactive</t>
  </si>
  <si>
    <t>Nikhil S Hardikar</t>
  </si>
  <si>
    <t>EPC</t>
  </si>
  <si>
    <t>Forex rate used for conversion (euro)</t>
  </si>
  <si>
    <t>2K Technology</t>
  </si>
  <si>
    <t>Telangana</t>
  </si>
  <si>
    <t>Spares</t>
  </si>
  <si>
    <t>Pump Identifier</t>
  </si>
  <si>
    <t>IB</t>
  </si>
  <si>
    <t>Remarks</t>
  </si>
  <si>
    <t>Replicator</t>
  </si>
  <si>
    <t>Wear</t>
  </si>
  <si>
    <t>Total Potential</t>
  </si>
  <si>
    <t xml:space="preserve">Ship to </t>
  </si>
  <si>
    <t>Bill to Customer Name</t>
  </si>
  <si>
    <t>P-0001</t>
  </si>
  <si>
    <t>Excel</t>
  </si>
  <si>
    <t>IB Potential</t>
  </si>
  <si>
    <t>File Identifier</t>
  </si>
  <si>
    <t>Add additional inputs</t>
  </si>
  <si>
    <t>"Changed to Weir"</t>
  </si>
  <si>
    <t>Customer Identifying Competitor</t>
  </si>
  <si>
    <t xml:space="preserve">Buying from vendor </t>
  </si>
  <si>
    <t>Low, High</t>
  </si>
  <si>
    <t>Potential Value based on the MALP</t>
  </si>
  <si>
    <t>Potential IB</t>
  </si>
  <si>
    <t>Potential IB * Qty</t>
  </si>
  <si>
    <t>Billing Customer name</t>
  </si>
  <si>
    <t>Global Pricing Managemnet Portal (MALP list)</t>
  </si>
  <si>
    <t>SAP/ Salesforce</t>
  </si>
  <si>
    <t xml:space="preserve">Source Link </t>
  </si>
  <si>
    <t xml:space="preserve">IB - Data </t>
  </si>
  <si>
    <t xml:space="preserve">Impeller </t>
  </si>
  <si>
    <t>Unit MALP 2025</t>
  </si>
  <si>
    <t>Backliner</t>
  </si>
  <si>
    <t>Unit MALP 20252</t>
  </si>
  <si>
    <t>Casing (Case half for HR Pumps)</t>
  </si>
  <si>
    <t>Unit MALP 20253</t>
  </si>
  <si>
    <t>Casing (Case half for HR Pumps)4</t>
  </si>
  <si>
    <t>Unit MALP 20255</t>
  </si>
  <si>
    <t>Shaft Sleeve</t>
  </si>
  <si>
    <t>Unit MALP 20256</t>
  </si>
  <si>
    <t>Stuffing Box</t>
  </si>
  <si>
    <t>Unit MALP 20257</t>
  </si>
  <si>
    <t>Lantern Ring</t>
  </si>
  <si>
    <t>Unit MALP 20258</t>
  </si>
  <si>
    <t>Total MALP Q1 2025</t>
  </si>
  <si>
    <t>Wear Rate</t>
  </si>
  <si>
    <t>Change Rate per Year</t>
  </si>
  <si>
    <t>Costing as per Wear Rate</t>
  </si>
  <si>
    <t xml:space="preserve">Model List (MALP) </t>
  </si>
  <si>
    <t>Identifies the unique code or unit number for the impeller component of the pump.</t>
  </si>
  <si>
    <t>150/100HPSP</t>
  </si>
  <si>
    <t>PD711147</t>
  </si>
  <si>
    <t>PD721041</t>
  </si>
  <si>
    <t>PD733110</t>
  </si>
  <si>
    <t>PDCF2539</t>
  </si>
  <si>
    <t>500653-1</t>
  </si>
  <si>
    <t>500797-1</t>
  </si>
  <si>
    <t>High</t>
  </si>
  <si>
    <t>High150X100E</t>
  </si>
  <si>
    <t xml:space="preserve">Source link </t>
  </si>
  <si>
    <t>Service Person (Sales)</t>
  </si>
  <si>
    <t>Concatenated field (Wear+Model)</t>
  </si>
  <si>
    <t xml:space="preserve">Lost Year </t>
  </si>
  <si>
    <t>Devendra</t>
  </si>
  <si>
    <t>Field Service Engineer</t>
  </si>
  <si>
    <t>Assigned Sales engineer</t>
  </si>
  <si>
    <t>Decimal Number</t>
  </si>
  <si>
    <t>LP = MALP * 1.3</t>
  </si>
  <si>
    <t>With Price hike @5%</t>
  </si>
  <si>
    <t>Model identifier of the pump to which the component belongs. Used to group and analyze wear and cost by pump type.</t>
  </si>
  <si>
    <t>Unit-level MALP (Material Average Lifecycle Price) for the Impeller in the year 2025.</t>
  </si>
  <si>
    <t>Unit MALP value for the Backliner component for 2025.</t>
  </si>
  <si>
    <t>Unit MALP value for the casing (case half) component for 2025.</t>
  </si>
  <si>
    <t>Unit MALP value corresponding to the secondary casing component for 2025</t>
  </si>
  <si>
    <t>shaft sleeves used for the pump model.</t>
  </si>
  <si>
    <t>Unit MALP value for the shaft sleeve component for 2025.</t>
  </si>
  <si>
    <t>Unit MALP value for the stuffing box component for 2025.</t>
  </si>
  <si>
    <t>Combined identifier created by concatenating key fields (e.g., Pump Model + Component) for uniqueness or analysis</t>
  </si>
  <si>
    <t>Year-on-year percentage change in wear rate or component replacement frequency</t>
  </si>
  <si>
    <t>Calculated cost based on the component’s wear rate and unit MALP</t>
  </si>
  <si>
    <t>List Price (LP) derived by applying a 30% markup on MALP.</t>
  </si>
  <si>
    <t>Final adjusted cost after applying a 5% annual price increase on the List Price.</t>
  </si>
  <si>
    <t>Expected rate at which each component wears out over time, typically expressed annually.</t>
  </si>
  <si>
    <t>Total MALP value aggregated across all components for Q1 2025.</t>
  </si>
  <si>
    <t>Unit MALP value for the lantern ring component for 2025.</t>
  </si>
  <si>
    <t>lantern rings used in the pump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</si>
</sst>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_ * #,##0.0_ ;_ * \-#,##0.0_ ;_ * &quot;-&quot;??_ ;_ @_ 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i/>
      <sz val="11"/>
      <color theme="1"/>
      <name val="Cambria"/>
      <family val="1"/>
    </font>
    <font>
      <i/>
      <sz val="10"/>
      <color theme="1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i/>
      <sz val="11"/>
      <name val="Cambria"/>
      <family val="1"/>
    </font>
    <font>
      <u/>
      <sz val="11"/>
      <color theme="10"/>
      <name val="Aptos Narrow"/>
      <family val="2"/>
      <scheme val="minor"/>
    </font>
    <font>
      <u/>
      <sz val="11"/>
      <color theme="10"/>
      <name val="Cambria"/>
      <family val="1"/>
    </font>
    <font>
      <i/>
      <sz val="11"/>
      <color rgb="FF242424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43" fontId="5" fillId="0" borderId="0" xfId="1" applyFont="1" applyFill="1" applyBorder="1" applyAlignment="1" applyProtection="1">
      <alignment horizontal="left" vertical="top"/>
      <protection locked="0"/>
    </xf>
    <xf numFmtId="1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 applyProtection="1">
      <alignment horizontal="left" wrapText="1"/>
      <protection locked="0"/>
    </xf>
    <xf numFmtId="0" fontId="3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9" fillId="0" borderId="0" xfId="2"/>
    <xf numFmtId="0" fontId="7" fillId="2" borderId="1" xfId="0" applyFont="1" applyFill="1" applyBorder="1" applyAlignment="1">
      <alignment horizontal="left"/>
    </xf>
    <xf numFmtId="0" fontId="2" fillId="0" borderId="1" xfId="0" applyFont="1" applyBorder="1"/>
    <xf numFmtId="0" fontId="8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" fontId="8" fillId="0" borderId="1" xfId="0" applyNumberFormat="1" applyFont="1" applyBorder="1" applyAlignment="1">
      <alignment horizontal="left" vertical="top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/>
    <xf numFmtId="0" fontId="2" fillId="0" borderId="1" xfId="0" applyFont="1" applyBorder="1" applyAlignment="1">
      <alignment wrapText="1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2" fontId="4" fillId="0" borderId="1" xfId="1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9" fillId="0" borderId="1" xfId="2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 applyProtection="1">
      <alignment horizontal="left"/>
      <protection locked="0"/>
    </xf>
    <xf numFmtId="0" fontId="7" fillId="0" borderId="5" xfId="0" applyFont="1" applyBorder="1" applyAlignment="1">
      <alignment vertical="center"/>
    </xf>
    <xf numFmtId="0" fontId="10" fillId="0" borderId="6" xfId="2" applyFont="1" applyBorder="1" applyAlignment="1"/>
    <xf numFmtId="0" fontId="7" fillId="0" borderId="5" xfId="0" applyFont="1" applyBorder="1" applyAlignment="1">
      <alignment horizontal="left"/>
    </xf>
    <xf numFmtId="0" fontId="4" fillId="0" borderId="8" xfId="0" applyFont="1" applyBorder="1"/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0" xfId="0" applyAlignment="1">
      <alignment vertical="top"/>
    </xf>
    <xf numFmtId="0" fontId="7" fillId="2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164" fontId="7" fillId="0" borderId="1" xfId="1" applyNumberFormat="1" applyFont="1" applyFill="1" applyBorder="1" applyAlignment="1">
      <alignment vertical="top"/>
    </xf>
    <xf numFmtId="0" fontId="7" fillId="0" borderId="1" xfId="1" applyNumberFormat="1" applyFont="1" applyFill="1" applyBorder="1" applyAlignment="1">
      <alignment vertical="top"/>
    </xf>
    <xf numFmtId="165" fontId="7" fillId="0" borderId="1" xfId="1" applyNumberFormat="1" applyFont="1" applyFill="1" applyBorder="1" applyAlignment="1">
      <alignment vertical="top"/>
    </xf>
    <xf numFmtId="0" fontId="2" fillId="0" borderId="1" xfId="0" applyFont="1" applyFill="1" applyBorder="1"/>
    <xf numFmtId="0" fontId="0" fillId="0" borderId="0" xfId="0" applyAlignment="1">
      <alignment vertical="center" wrapText="1"/>
    </xf>
    <xf numFmtId="0" fontId="10" fillId="0" borderId="1" xfId="2" applyFont="1" applyBorder="1"/>
    <xf numFmtId="0" fontId="3" fillId="0" borderId="1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C09F3BA-1270-444F-8F43-8887E3B11E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tso.sharepoint.com/sites/OGMestoPumps/Shared%20Documents/IB_Data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etso.sharepoint.com/sites/OGMestoPumps/Shared%20Documents/OB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etso.sharepoint.com/sites/OGMestoPumps/Shared%20Documents/Model_Lis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D2AA-2918-4569-BC07-1F9B69FAC094}">
  <sheetPr>
    <tabColor theme="9" tint="0.59999389629810485"/>
  </sheetPr>
  <dimension ref="A1:F84"/>
  <sheetViews>
    <sheetView workbookViewId="0">
      <selection activeCell="E38" sqref="E38"/>
    </sheetView>
  </sheetViews>
  <sheetFormatPr defaultColWidth="46.81640625" defaultRowHeight="14" x14ac:dyDescent="0.3"/>
  <cols>
    <col min="1" max="1" width="26.36328125" style="3" customWidth="1"/>
    <col min="2" max="2" width="44.54296875" style="1" customWidth="1"/>
    <col min="3" max="3" width="17.08984375" style="1" customWidth="1"/>
    <col min="4" max="4" width="24.7265625" style="5" customWidth="1"/>
    <col min="5" max="5" width="42.26953125" style="1" customWidth="1"/>
    <col min="6" max="6" width="23.54296875" style="1" customWidth="1"/>
    <col min="7" max="16384" width="46.81640625" style="1"/>
  </cols>
  <sheetData>
    <row r="1" spans="1:6" s="3" customFormat="1" x14ac:dyDescent="0.3">
      <c r="A1" s="25" t="s">
        <v>16</v>
      </c>
      <c r="B1" s="26" t="s">
        <v>17</v>
      </c>
      <c r="C1" s="26" t="s">
        <v>18</v>
      </c>
      <c r="D1" s="26" t="s">
        <v>19</v>
      </c>
      <c r="E1" s="27" t="s">
        <v>71</v>
      </c>
      <c r="F1" s="28" t="s">
        <v>156</v>
      </c>
    </row>
    <row r="2" spans="1:6" x14ac:dyDescent="0.3">
      <c r="A2" s="41" t="s">
        <v>133</v>
      </c>
      <c r="B2" s="21" t="s">
        <v>20</v>
      </c>
      <c r="C2" s="21" t="s">
        <v>58</v>
      </c>
      <c r="D2" s="22" t="s">
        <v>141</v>
      </c>
      <c r="E2" s="23" t="s">
        <v>142</v>
      </c>
      <c r="F2" s="42" t="s">
        <v>157</v>
      </c>
    </row>
    <row r="3" spans="1:6" x14ac:dyDescent="0.3">
      <c r="A3" s="41" t="s">
        <v>134</v>
      </c>
      <c r="B3" s="21" t="s">
        <v>144</v>
      </c>
      <c r="C3" s="21" t="s">
        <v>60</v>
      </c>
      <c r="D3" s="22" t="s">
        <v>143</v>
      </c>
      <c r="E3" s="23"/>
      <c r="F3" s="29"/>
    </row>
    <row r="4" spans="1:6" x14ac:dyDescent="0.3">
      <c r="A4" s="41" t="s">
        <v>82</v>
      </c>
      <c r="B4" s="21" t="s">
        <v>24</v>
      </c>
      <c r="C4" s="21" t="s">
        <v>58</v>
      </c>
      <c r="D4" s="22" t="s">
        <v>46</v>
      </c>
      <c r="E4" s="23" t="s">
        <v>72</v>
      </c>
      <c r="F4" s="29"/>
    </row>
    <row r="5" spans="1:6" x14ac:dyDescent="0.3">
      <c r="A5" s="41" t="s">
        <v>0</v>
      </c>
      <c r="B5" s="21" t="s">
        <v>25</v>
      </c>
      <c r="C5" s="21" t="s">
        <v>58</v>
      </c>
      <c r="D5" s="22" t="s">
        <v>47</v>
      </c>
      <c r="E5" s="23" t="s">
        <v>72</v>
      </c>
      <c r="F5" s="29"/>
    </row>
    <row r="6" spans="1:6" x14ac:dyDescent="0.3">
      <c r="A6" s="41" t="s">
        <v>9</v>
      </c>
      <c r="B6" s="21" t="s">
        <v>37</v>
      </c>
      <c r="C6" s="21" t="s">
        <v>60</v>
      </c>
      <c r="D6" s="22" t="s">
        <v>54</v>
      </c>
      <c r="E6" s="23"/>
      <c r="F6" s="29"/>
    </row>
    <row r="7" spans="1:6" x14ac:dyDescent="0.3">
      <c r="A7" s="41" t="s">
        <v>2</v>
      </c>
      <c r="B7" s="21" t="s">
        <v>27</v>
      </c>
      <c r="C7" s="21" t="s">
        <v>60</v>
      </c>
      <c r="D7" s="22" t="s">
        <v>49</v>
      </c>
      <c r="E7" s="23" t="s">
        <v>72</v>
      </c>
      <c r="F7" s="29"/>
    </row>
    <row r="8" spans="1:6" x14ac:dyDescent="0.3">
      <c r="A8" s="41" t="s">
        <v>3</v>
      </c>
      <c r="B8" s="21" t="s">
        <v>28</v>
      </c>
      <c r="C8" s="21" t="s">
        <v>60</v>
      </c>
      <c r="D8" s="22" t="s">
        <v>50</v>
      </c>
      <c r="E8" s="23" t="s">
        <v>72</v>
      </c>
      <c r="F8" s="29"/>
    </row>
    <row r="9" spans="1:6" x14ac:dyDescent="0.3">
      <c r="A9" s="41" t="s">
        <v>4</v>
      </c>
      <c r="B9" s="21" t="s">
        <v>4</v>
      </c>
      <c r="C9" s="21" t="s">
        <v>60</v>
      </c>
      <c r="D9" s="22" t="s">
        <v>51</v>
      </c>
      <c r="E9" s="23" t="s">
        <v>72</v>
      </c>
      <c r="F9" s="29"/>
    </row>
    <row r="10" spans="1:6" x14ac:dyDescent="0.3">
      <c r="A10" s="41" t="s">
        <v>5</v>
      </c>
      <c r="B10" s="21" t="s">
        <v>29</v>
      </c>
      <c r="C10" s="21" t="s">
        <v>60</v>
      </c>
      <c r="D10" s="22" t="s">
        <v>69</v>
      </c>
      <c r="E10" s="23" t="s">
        <v>72</v>
      </c>
      <c r="F10" s="29"/>
    </row>
    <row r="11" spans="1:6" x14ac:dyDescent="0.3">
      <c r="A11" s="41" t="s">
        <v>188</v>
      </c>
      <c r="B11" s="21" t="s">
        <v>193</v>
      </c>
      <c r="C11" s="21" t="s">
        <v>60</v>
      </c>
      <c r="D11" s="15" t="s">
        <v>52</v>
      </c>
      <c r="E11" s="23" t="s">
        <v>73</v>
      </c>
      <c r="F11" s="29"/>
    </row>
    <row r="12" spans="1:6" x14ac:dyDescent="0.3">
      <c r="A12" s="41" t="s">
        <v>11</v>
      </c>
      <c r="B12" s="21" t="s">
        <v>41</v>
      </c>
      <c r="C12" s="21" t="s">
        <v>58</v>
      </c>
      <c r="D12" s="22" t="s">
        <v>45</v>
      </c>
      <c r="E12" s="23"/>
      <c r="F12" s="29"/>
    </row>
    <row r="13" spans="1:6" x14ac:dyDescent="0.3">
      <c r="A13" s="41" t="s">
        <v>7</v>
      </c>
      <c r="B13" s="21" t="s">
        <v>67</v>
      </c>
      <c r="C13" s="21" t="s">
        <v>57</v>
      </c>
      <c r="D13" s="22">
        <v>2</v>
      </c>
      <c r="E13" s="23"/>
      <c r="F13" s="29"/>
    </row>
    <row r="14" spans="1:6" x14ac:dyDescent="0.3">
      <c r="A14" s="41" t="s">
        <v>1</v>
      </c>
      <c r="B14" s="21" t="s">
        <v>26</v>
      </c>
      <c r="C14" s="21" t="s">
        <v>58</v>
      </c>
      <c r="D14" s="22" t="s">
        <v>48</v>
      </c>
      <c r="E14" s="23" t="s">
        <v>73</v>
      </c>
      <c r="F14" s="29"/>
    </row>
    <row r="15" spans="1:6" x14ac:dyDescent="0.3">
      <c r="A15" s="41" t="s">
        <v>6</v>
      </c>
      <c r="B15" s="21" t="s">
        <v>33</v>
      </c>
      <c r="C15" s="21" t="s">
        <v>60</v>
      </c>
      <c r="D15" s="22" t="s">
        <v>54</v>
      </c>
      <c r="E15" s="23" t="s">
        <v>73</v>
      </c>
      <c r="F15" s="29"/>
    </row>
    <row r="16" spans="1:6" x14ac:dyDescent="0.3">
      <c r="A16" s="41" t="s">
        <v>135</v>
      </c>
      <c r="B16" s="21" t="s">
        <v>145</v>
      </c>
      <c r="C16" s="21" t="s">
        <v>60</v>
      </c>
      <c r="D16" s="22" t="s">
        <v>146</v>
      </c>
      <c r="E16" s="23" t="s">
        <v>73</v>
      </c>
      <c r="F16" s="29"/>
    </row>
    <row r="17" spans="1:6" x14ac:dyDescent="0.3">
      <c r="A17" s="41" t="s">
        <v>136</v>
      </c>
      <c r="B17" s="21" t="s">
        <v>147</v>
      </c>
      <c r="C17" s="21" t="s">
        <v>60</v>
      </c>
      <c r="D17" s="22" t="s">
        <v>148</v>
      </c>
      <c r="E17" s="23" t="s">
        <v>73</v>
      </c>
      <c r="F17" s="29"/>
    </row>
    <row r="18" spans="1:6" x14ac:dyDescent="0.3">
      <c r="A18" s="41" t="s">
        <v>10</v>
      </c>
      <c r="B18" s="21" t="s">
        <v>40</v>
      </c>
      <c r="C18" s="21" t="s">
        <v>60</v>
      </c>
      <c r="D18" s="22" t="s">
        <v>70</v>
      </c>
      <c r="E18" s="23" t="s">
        <v>72</v>
      </c>
      <c r="F18" s="29"/>
    </row>
    <row r="19" spans="1:6" x14ac:dyDescent="0.3">
      <c r="A19" s="41" t="s">
        <v>38</v>
      </c>
      <c r="B19" s="21" t="s">
        <v>39</v>
      </c>
      <c r="C19" s="21" t="s">
        <v>58</v>
      </c>
      <c r="D19" s="22" t="s">
        <v>56</v>
      </c>
      <c r="E19" s="23" t="s">
        <v>72</v>
      </c>
      <c r="F19" s="29"/>
    </row>
    <row r="20" spans="1:6" x14ac:dyDescent="0.3">
      <c r="A20" s="41" t="s">
        <v>137</v>
      </c>
      <c r="B20" s="21"/>
      <c r="C20" s="21" t="s">
        <v>60</v>
      </c>
      <c r="D20" s="22" t="s">
        <v>149</v>
      </c>
      <c r="E20" s="23" t="s">
        <v>142</v>
      </c>
      <c r="F20" s="29"/>
    </row>
    <row r="21" spans="1:6" x14ac:dyDescent="0.3">
      <c r="A21" s="41" t="s">
        <v>35</v>
      </c>
      <c r="B21" s="21" t="s">
        <v>36</v>
      </c>
      <c r="C21" s="21" t="s">
        <v>58</v>
      </c>
      <c r="D21" s="16" t="s">
        <v>55</v>
      </c>
      <c r="E21" s="23" t="s">
        <v>72</v>
      </c>
      <c r="F21" s="29"/>
    </row>
    <row r="22" spans="1:6" x14ac:dyDescent="0.3">
      <c r="A22" s="41" t="s">
        <v>8</v>
      </c>
      <c r="B22" s="21" t="s">
        <v>34</v>
      </c>
      <c r="C22" s="21" t="s">
        <v>61</v>
      </c>
      <c r="D22" s="22">
        <v>45092</v>
      </c>
      <c r="E22" s="23" t="s">
        <v>72</v>
      </c>
      <c r="F22" s="29"/>
    </row>
    <row r="23" spans="1:6" x14ac:dyDescent="0.3">
      <c r="A23" s="41" t="s">
        <v>31</v>
      </c>
      <c r="B23" s="21" t="s">
        <v>32</v>
      </c>
      <c r="C23" s="21" t="s">
        <v>58</v>
      </c>
      <c r="D23" s="16" t="s">
        <v>53</v>
      </c>
      <c r="E23" s="23" t="s">
        <v>72</v>
      </c>
      <c r="F23" s="29"/>
    </row>
    <row r="24" spans="1:6" x14ac:dyDescent="0.3">
      <c r="A24" s="41" t="s">
        <v>59</v>
      </c>
      <c r="B24" s="21" t="s">
        <v>21</v>
      </c>
      <c r="C24" s="21" t="s">
        <v>58</v>
      </c>
      <c r="D24" s="22" t="s">
        <v>22</v>
      </c>
      <c r="E24" s="23" t="s">
        <v>155</v>
      </c>
      <c r="F24" s="29"/>
    </row>
    <row r="25" spans="1:6" x14ac:dyDescent="0.3">
      <c r="A25" s="41" t="s">
        <v>12</v>
      </c>
      <c r="B25" s="21" t="s">
        <v>189</v>
      </c>
      <c r="C25" s="21" t="s">
        <v>58</v>
      </c>
      <c r="D25" s="16" t="s">
        <v>62</v>
      </c>
      <c r="E25" s="23" t="s">
        <v>142</v>
      </c>
      <c r="F25" s="29"/>
    </row>
    <row r="26" spans="1:6" x14ac:dyDescent="0.3">
      <c r="A26" s="41" t="s">
        <v>151</v>
      </c>
      <c r="B26" s="21" t="s">
        <v>150</v>
      </c>
      <c r="C26" s="21" t="s">
        <v>57</v>
      </c>
      <c r="D26" s="16">
        <v>78666.199999999983</v>
      </c>
      <c r="E26" s="23" t="s">
        <v>154</v>
      </c>
      <c r="F26" s="29"/>
    </row>
    <row r="27" spans="1:6" x14ac:dyDescent="0.3">
      <c r="A27" s="43" t="s">
        <v>138</v>
      </c>
      <c r="B27" s="23" t="s">
        <v>152</v>
      </c>
      <c r="C27" s="23" t="s">
        <v>57</v>
      </c>
      <c r="D27" s="18">
        <v>157332.39999999997</v>
      </c>
      <c r="E27" s="23" t="s">
        <v>154</v>
      </c>
      <c r="F27" s="29"/>
    </row>
    <row r="28" spans="1:6" x14ac:dyDescent="0.3">
      <c r="A28" s="43" t="s">
        <v>139</v>
      </c>
      <c r="B28" s="21" t="s">
        <v>23</v>
      </c>
      <c r="C28" s="21" t="s">
        <v>58</v>
      </c>
      <c r="D28" s="15">
        <v>20011731</v>
      </c>
      <c r="E28" s="23" t="s">
        <v>72</v>
      </c>
      <c r="F28" s="29"/>
    </row>
    <row r="29" spans="1:6" x14ac:dyDescent="0.3">
      <c r="A29" s="41" t="s">
        <v>13</v>
      </c>
      <c r="B29" s="21" t="s">
        <v>42</v>
      </c>
      <c r="C29" s="21" t="s">
        <v>57</v>
      </c>
      <c r="D29" s="19">
        <v>2388150</v>
      </c>
      <c r="E29" s="23" t="s">
        <v>72</v>
      </c>
      <c r="F29" s="29"/>
    </row>
    <row r="30" spans="1:6" x14ac:dyDescent="0.3">
      <c r="A30" s="43" t="s">
        <v>140</v>
      </c>
      <c r="B30" s="21" t="s">
        <v>153</v>
      </c>
      <c r="C30" s="21" t="s">
        <v>58</v>
      </c>
      <c r="D30" s="15" t="s">
        <v>46</v>
      </c>
      <c r="E30" s="23" t="s">
        <v>72</v>
      </c>
      <c r="F30" s="29"/>
    </row>
    <row r="31" spans="1:6" x14ac:dyDescent="0.3">
      <c r="A31" s="45" t="s">
        <v>190</v>
      </c>
      <c r="B31" s="39"/>
      <c r="C31" s="39"/>
      <c r="D31" s="40">
        <v>2019</v>
      </c>
      <c r="E31" s="14"/>
      <c r="F31" s="29"/>
    </row>
    <row r="32" spans="1:6" ht="14.5" thickBot="1" x14ac:dyDescent="0.35">
      <c r="A32" s="46" t="s">
        <v>192</v>
      </c>
      <c r="B32" s="30" t="s">
        <v>30</v>
      </c>
      <c r="C32" s="30" t="s">
        <v>60</v>
      </c>
      <c r="D32" s="44" t="s">
        <v>191</v>
      </c>
      <c r="E32" s="30" t="s">
        <v>73</v>
      </c>
      <c r="F32" s="31"/>
    </row>
    <row r="43" spans="1:4" x14ac:dyDescent="0.3">
      <c r="A43" s="2"/>
      <c r="B43" s="2"/>
      <c r="C43" s="2"/>
      <c r="D43" s="4"/>
    </row>
    <row r="45" spans="1:4" x14ac:dyDescent="0.3">
      <c r="A45" s="2"/>
      <c r="B45" s="2"/>
      <c r="C45" s="2"/>
      <c r="D45" s="4"/>
    </row>
    <row r="47" spans="1:4" x14ac:dyDescent="0.3">
      <c r="A47" s="2"/>
      <c r="B47" s="2"/>
      <c r="C47" s="2"/>
      <c r="D47" s="4"/>
    </row>
    <row r="49" spans="1:4" x14ac:dyDescent="0.3">
      <c r="A49" s="2"/>
      <c r="B49" s="2"/>
      <c r="C49" s="2"/>
      <c r="D49" s="4"/>
    </row>
    <row r="50" spans="1:4" x14ac:dyDescent="0.3">
      <c r="A50" s="2"/>
      <c r="B50" s="2"/>
      <c r="C50" s="2"/>
      <c r="D50" s="6"/>
    </row>
    <row r="51" spans="1:4" x14ac:dyDescent="0.3">
      <c r="A51" s="2"/>
      <c r="B51" s="2"/>
      <c r="C51" s="2"/>
      <c r="D51" s="4"/>
    </row>
    <row r="52" spans="1:4" x14ac:dyDescent="0.3">
      <c r="A52" s="2"/>
      <c r="B52" s="2"/>
      <c r="C52" s="2"/>
      <c r="D52" s="4"/>
    </row>
    <row r="53" spans="1:4" x14ac:dyDescent="0.3">
      <c r="A53" s="2"/>
      <c r="B53" s="2"/>
      <c r="C53" s="2"/>
      <c r="D53" s="4"/>
    </row>
    <row r="54" spans="1:4" x14ac:dyDescent="0.3">
      <c r="A54" s="2"/>
      <c r="B54" s="2"/>
      <c r="C54" s="2"/>
      <c r="D54" s="4"/>
    </row>
    <row r="55" spans="1:4" x14ac:dyDescent="0.3">
      <c r="A55" s="2"/>
      <c r="B55" s="2"/>
      <c r="C55" s="2"/>
      <c r="D55" s="4"/>
    </row>
    <row r="56" spans="1:4" x14ac:dyDescent="0.3">
      <c r="A56" s="2"/>
      <c r="B56" s="2"/>
      <c r="C56" s="2"/>
      <c r="D56" s="4"/>
    </row>
    <row r="57" spans="1:4" x14ac:dyDescent="0.3">
      <c r="A57" s="2"/>
      <c r="B57" s="2"/>
      <c r="C57" s="2"/>
      <c r="D57" s="4"/>
    </row>
    <row r="58" spans="1:4" x14ac:dyDescent="0.3">
      <c r="A58" s="2"/>
      <c r="B58" s="2"/>
      <c r="C58" s="2"/>
      <c r="D58" s="4"/>
    </row>
    <row r="59" spans="1:4" x14ac:dyDescent="0.3">
      <c r="A59" s="2"/>
      <c r="B59" s="2"/>
      <c r="C59" s="2"/>
      <c r="D59" s="4"/>
    </row>
    <row r="61" spans="1:4" x14ac:dyDescent="0.3">
      <c r="A61" s="2"/>
      <c r="B61" s="2"/>
      <c r="C61" s="2"/>
      <c r="D61" s="4"/>
    </row>
    <row r="62" spans="1:4" x14ac:dyDescent="0.3">
      <c r="A62" s="2"/>
      <c r="B62" s="2"/>
      <c r="C62" s="2"/>
      <c r="D62" s="4"/>
    </row>
    <row r="63" spans="1:4" x14ac:dyDescent="0.3">
      <c r="A63" s="2"/>
      <c r="B63" s="2"/>
      <c r="C63" s="2"/>
      <c r="D63" s="7"/>
    </row>
    <row r="64" spans="1:4" x14ac:dyDescent="0.3">
      <c r="A64" s="2"/>
      <c r="B64" s="2"/>
      <c r="C64" s="2"/>
      <c r="D64" s="4"/>
    </row>
    <row r="65" spans="1:4" x14ac:dyDescent="0.3">
      <c r="A65" s="2"/>
      <c r="B65" s="2"/>
      <c r="C65" s="2"/>
      <c r="D65" s="4"/>
    </row>
    <row r="66" spans="1:4" x14ac:dyDescent="0.3">
      <c r="A66" s="2"/>
      <c r="B66" s="2"/>
      <c r="C66" s="2"/>
      <c r="D66" s="8"/>
    </row>
    <row r="67" spans="1:4" x14ac:dyDescent="0.3">
      <c r="A67" s="2"/>
      <c r="B67" s="2"/>
      <c r="C67" s="2"/>
      <c r="D67" s="4"/>
    </row>
    <row r="68" spans="1:4" x14ac:dyDescent="0.3">
      <c r="A68" s="2"/>
      <c r="B68" s="2"/>
      <c r="C68" s="2"/>
      <c r="D68" s="4"/>
    </row>
    <row r="69" spans="1:4" x14ac:dyDescent="0.3">
      <c r="A69" s="2"/>
      <c r="B69" s="2"/>
      <c r="C69" s="2"/>
      <c r="D69" s="4"/>
    </row>
    <row r="70" spans="1:4" x14ac:dyDescent="0.3">
      <c r="A70" s="2"/>
      <c r="B70" s="2"/>
      <c r="C70" s="2"/>
      <c r="D70" s="4"/>
    </row>
    <row r="71" spans="1:4" x14ac:dyDescent="0.3">
      <c r="A71" s="2"/>
      <c r="B71" s="2"/>
      <c r="C71" s="2"/>
      <c r="D71" s="4"/>
    </row>
    <row r="73" spans="1:4" x14ac:dyDescent="0.3">
      <c r="A73" s="2"/>
      <c r="B73" s="2"/>
      <c r="C73" s="2"/>
      <c r="D73" s="4"/>
    </row>
    <row r="74" spans="1:4" x14ac:dyDescent="0.3">
      <c r="A74" s="2"/>
      <c r="B74" s="2"/>
      <c r="C74" s="2"/>
      <c r="D74" s="4"/>
    </row>
    <row r="75" spans="1:4" x14ac:dyDescent="0.3">
      <c r="A75" s="2"/>
      <c r="B75" s="2"/>
      <c r="C75" s="2"/>
      <c r="D75" s="4"/>
    </row>
    <row r="76" spans="1:4" x14ac:dyDescent="0.3">
      <c r="A76" s="2"/>
      <c r="B76" s="2"/>
      <c r="C76" s="2"/>
      <c r="D76" s="4"/>
    </row>
    <row r="77" spans="1:4" x14ac:dyDescent="0.3">
      <c r="A77" s="2"/>
      <c r="B77" s="2"/>
      <c r="C77" s="2"/>
      <c r="D77" s="4"/>
    </row>
    <row r="78" spans="1:4" x14ac:dyDescent="0.3">
      <c r="A78" s="2"/>
      <c r="B78" s="2"/>
      <c r="C78" s="2"/>
      <c r="D78" s="4"/>
    </row>
    <row r="79" spans="1:4" x14ac:dyDescent="0.3">
      <c r="A79" s="2"/>
      <c r="B79" s="2"/>
      <c r="C79" s="2"/>
      <c r="D79" s="4"/>
    </row>
    <row r="80" spans="1:4" x14ac:dyDescent="0.3">
      <c r="A80" s="2"/>
      <c r="B80" s="2"/>
      <c r="C80" s="2"/>
      <c r="D80" s="4"/>
    </row>
    <row r="81" spans="1:4" x14ac:dyDescent="0.3">
      <c r="A81" s="2"/>
      <c r="B81" s="2"/>
      <c r="C81" s="2"/>
      <c r="D81" s="4"/>
    </row>
    <row r="82" spans="1:4" x14ac:dyDescent="0.3">
      <c r="A82" s="2"/>
      <c r="B82" s="2"/>
      <c r="C82" s="2"/>
      <c r="D82" s="4"/>
    </row>
    <row r="83" spans="1:4" x14ac:dyDescent="0.3">
      <c r="A83" s="9"/>
    </row>
    <row r="84" spans="1:4" x14ac:dyDescent="0.3">
      <c r="A84" s="9"/>
    </row>
  </sheetData>
  <dataValidations count="1">
    <dataValidation type="list" allowBlank="1" showInputMessage="1" showErrorMessage="1" sqref="D21 D23:D26 D50" xr:uid="{2DD0A38B-9915-47B1-9297-34D523C4232F}"/>
  </dataValidations>
  <hyperlinks>
    <hyperlink ref="F2" r:id="rId1" xr:uid="{293ECF49-A696-41FD-A418-347700C0DCA5}"/>
  </hyperlinks>
  <pageMargins left="0.7" right="0.7" top="0.75" bottom="0.75" header="0.3" footer="0.3"/>
  <headerFooter>
    <oddHeader>&amp;C&amp;"Calibri"&amp;10&amp;K317100 UNRESTRICTED&amp;1#_x000D_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68F3-4C0D-4CBE-817E-2BF06F726B0A}">
  <sheetPr>
    <tabColor theme="9" tint="0.39997558519241921"/>
  </sheetPr>
  <dimension ref="A1:G25"/>
  <sheetViews>
    <sheetView workbookViewId="0">
      <selection activeCell="A9" sqref="A9"/>
    </sheetView>
  </sheetViews>
  <sheetFormatPr defaultColWidth="29.54296875" defaultRowHeight="14.5" x14ac:dyDescent="0.35"/>
  <cols>
    <col min="1" max="1" width="27.08984375" customWidth="1"/>
    <col min="2" max="2" width="49.6328125" customWidth="1"/>
    <col min="3" max="3" width="23.1796875" customWidth="1"/>
    <col min="4" max="4" width="19.54296875" customWidth="1"/>
    <col min="5" max="5" width="27.6328125" customWidth="1"/>
    <col min="6" max="6" width="46.6328125" customWidth="1"/>
    <col min="7" max="7" width="35.453125" customWidth="1"/>
  </cols>
  <sheetData>
    <row r="1" spans="1:6" x14ac:dyDescent="0.35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71</v>
      </c>
      <c r="F1" s="10" t="s">
        <v>187</v>
      </c>
    </row>
    <row r="2" spans="1:6" x14ac:dyDescent="0.35">
      <c r="A2" s="17" t="s">
        <v>74</v>
      </c>
      <c r="B2" s="11" t="s">
        <v>81</v>
      </c>
      <c r="C2" s="11" t="s">
        <v>60</v>
      </c>
      <c r="D2" s="32" t="s">
        <v>124</v>
      </c>
      <c r="E2" s="11" t="s">
        <v>72</v>
      </c>
      <c r="F2" s="38" t="s">
        <v>74</v>
      </c>
    </row>
    <row r="3" spans="1:6" x14ac:dyDescent="0.35">
      <c r="A3" s="17" t="s">
        <v>82</v>
      </c>
      <c r="B3" s="11" t="s">
        <v>83</v>
      </c>
      <c r="C3" s="11" t="s">
        <v>58</v>
      </c>
      <c r="D3" s="32" t="s">
        <v>125</v>
      </c>
      <c r="E3" s="11" t="s">
        <v>84</v>
      </c>
      <c r="F3" s="11"/>
    </row>
    <row r="4" spans="1:6" x14ac:dyDescent="0.35">
      <c r="A4" s="17" t="s">
        <v>0</v>
      </c>
      <c r="B4" s="11" t="s">
        <v>85</v>
      </c>
      <c r="C4" s="11" t="s">
        <v>58</v>
      </c>
      <c r="D4" s="32" t="s">
        <v>123</v>
      </c>
      <c r="E4" s="11" t="s">
        <v>72</v>
      </c>
      <c r="F4" s="11"/>
    </row>
    <row r="5" spans="1:6" x14ac:dyDescent="0.35">
      <c r="A5" s="17" t="s">
        <v>9</v>
      </c>
      <c r="B5" s="11" t="s">
        <v>86</v>
      </c>
      <c r="C5" s="11" t="s">
        <v>58</v>
      </c>
      <c r="D5" s="32" t="s">
        <v>126</v>
      </c>
      <c r="E5" s="11" t="s">
        <v>87</v>
      </c>
      <c r="F5" s="11"/>
    </row>
    <row r="6" spans="1:6" x14ac:dyDescent="0.35">
      <c r="A6" s="17" t="s">
        <v>2</v>
      </c>
      <c r="B6" s="11" t="s">
        <v>88</v>
      </c>
      <c r="C6" s="11" t="s">
        <v>60</v>
      </c>
      <c r="D6" s="32" t="s">
        <v>89</v>
      </c>
      <c r="E6" s="11" t="s">
        <v>90</v>
      </c>
      <c r="F6" s="11"/>
    </row>
    <row r="7" spans="1:6" x14ac:dyDescent="0.35">
      <c r="A7" s="17" t="s">
        <v>3</v>
      </c>
      <c r="B7" s="11" t="s">
        <v>91</v>
      </c>
      <c r="C7" s="11" t="s">
        <v>60</v>
      </c>
      <c r="D7" s="32" t="s">
        <v>92</v>
      </c>
      <c r="E7" s="11" t="s">
        <v>90</v>
      </c>
      <c r="F7" s="11"/>
    </row>
    <row r="8" spans="1:6" x14ac:dyDescent="0.35">
      <c r="A8" s="17" t="s">
        <v>4</v>
      </c>
      <c r="B8" s="11" t="s">
        <v>93</v>
      </c>
      <c r="C8" s="11" t="s">
        <v>60</v>
      </c>
      <c r="D8" s="32" t="s">
        <v>51</v>
      </c>
      <c r="E8" s="11" t="s">
        <v>90</v>
      </c>
      <c r="F8" s="11"/>
    </row>
    <row r="9" spans="1:6" x14ac:dyDescent="0.35">
      <c r="A9" s="17" t="s">
        <v>5</v>
      </c>
      <c r="B9" s="11" t="s">
        <v>94</v>
      </c>
      <c r="C9" s="11" t="s">
        <v>60</v>
      </c>
      <c r="D9" s="32" t="s">
        <v>95</v>
      </c>
      <c r="E9" s="11" t="s">
        <v>96</v>
      </c>
      <c r="F9" s="11"/>
    </row>
    <row r="10" spans="1:6" x14ac:dyDescent="0.35">
      <c r="A10" s="17" t="s">
        <v>75</v>
      </c>
      <c r="B10" s="11" t="s">
        <v>97</v>
      </c>
      <c r="C10" s="11" t="s">
        <v>58</v>
      </c>
      <c r="D10" s="32" t="s">
        <v>127</v>
      </c>
      <c r="E10" s="11" t="s">
        <v>98</v>
      </c>
      <c r="F10" s="11"/>
    </row>
    <row r="11" spans="1:6" x14ac:dyDescent="0.35">
      <c r="A11" s="17" t="s">
        <v>76</v>
      </c>
      <c r="B11" s="11" t="s">
        <v>99</v>
      </c>
      <c r="C11" s="11" t="s">
        <v>58</v>
      </c>
      <c r="D11" s="32" t="s">
        <v>128</v>
      </c>
      <c r="E11" s="11" t="s">
        <v>100</v>
      </c>
      <c r="F11" s="11"/>
    </row>
    <row r="12" spans="1:6" x14ac:dyDescent="0.35">
      <c r="A12" s="17" t="s">
        <v>77</v>
      </c>
      <c r="B12" s="11" t="s">
        <v>101</v>
      </c>
      <c r="C12" s="11" t="s">
        <v>63</v>
      </c>
      <c r="D12" s="32">
        <v>500000</v>
      </c>
      <c r="E12" s="11" t="s">
        <v>72</v>
      </c>
      <c r="F12" s="11"/>
    </row>
    <row r="13" spans="1:6" x14ac:dyDescent="0.35">
      <c r="A13" s="17" t="s">
        <v>78</v>
      </c>
      <c r="B13" s="11" t="s">
        <v>129</v>
      </c>
      <c r="C13" s="11" t="s">
        <v>102</v>
      </c>
      <c r="D13" s="32">
        <v>83.25</v>
      </c>
      <c r="E13" s="11" t="s">
        <v>103</v>
      </c>
      <c r="F13" s="11"/>
    </row>
    <row r="14" spans="1:6" x14ac:dyDescent="0.35">
      <c r="A14" s="17" t="s">
        <v>104</v>
      </c>
      <c r="B14" s="11" t="s">
        <v>105</v>
      </c>
      <c r="C14" s="11" t="s">
        <v>63</v>
      </c>
      <c r="D14" s="35">
        <v>415000</v>
      </c>
      <c r="E14" s="11" t="s">
        <v>106</v>
      </c>
      <c r="F14" s="11"/>
    </row>
    <row r="15" spans="1:6" x14ac:dyDescent="0.35">
      <c r="A15" s="17" t="s">
        <v>13</v>
      </c>
      <c r="B15" s="11" t="s">
        <v>107</v>
      </c>
      <c r="C15" s="11" t="s">
        <v>57</v>
      </c>
      <c r="D15" s="32">
        <v>2388150</v>
      </c>
      <c r="E15" s="11" t="s">
        <v>90</v>
      </c>
      <c r="F15" s="11"/>
    </row>
    <row r="16" spans="1:6" x14ac:dyDescent="0.35">
      <c r="A16" s="17" t="s">
        <v>108</v>
      </c>
      <c r="B16" s="11" t="s">
        <v>109</v>
      </c>
      <c r="C16" s="11" t="s">
        <v>58</v>
      </c>
      <c r="D16" s="32" t="s">
        <v>130</v>
      </c>
      <c r="E16" s="11" t="s">
        <v>72</v>
      </c>
      <c r="F16" s="11"/>
    </row>
    <row r="17" spans="1:7" x14ac:dyDescent="0.35">
      <c r="A17" s="17" t="s">
        <v>64</v>
      </c>
      <c r="B17" s="11" t="s">
        <v>110</v>
      </c>
      <c r="C17" s="11" t="s">
        <v>60</v>
      </c>
      <c r="D17" s="32" t="s">
        <v>131</v>
      </c>
      <c r="E17" s="11" t="s">
        <v>72</v>
      </c>
      <c r="F17" s="11"/>
    </row>
    <row r="18" spans="1:7" x14ac:dyDescent="0.35">
      <c r="A18" s="17" t="s">
        <v>43</v>
      </c>
      <c r="B18" s="11" t="s">
        <v>111</v>
      </c>
      <c r="C18" s="11" t="s">
        <v>57</v>
      </c>
      <c r="D18" s="32">
        <v>20011731</v>
      </c>
      <c r="E18" s="11" t="s">
        <v>72</v>
      </c>
      <c r="F18" s="11"/>
    </row>
    <row r="19" spans="1:7" x14ac:dyDescent="0.35">
      <c r="A19" s="17" t="s">
        <v>112</v>
      </c>
      <c r="B19" s="11" t="s">
        <v>113</v>
      </c>
      <c r="C19" s="11" t="s">
        <v>60</v>
      </c>
      <c r="D19" s="32" t="s">
        <v>132</v>
      </c>
      <c r="E19" s="11" t="s">
        <v>114</v>
      </c>
      <c r="F19" s="11"/>
    </row>
    <row r="20" spans="1:7" x14ac:dyDescent="0.35">
      <c r="A20" s="17" t="s">
        <v>65</v>
      </c>
      <c r="B20" s="11" t="s">
        <v>115</v>
      </c>
      <c r="C20" s="11" t="s">
        <v>57</v>
      </c>
      <c r="D20" s="36">
        <v>304266815</v>
      </c>
      <c r="E20" s="11" t="s">
        <v>72</v>
      </c>
      <c r="F20" s="11"/>
    </row>
    <row r="21" spans="1:7" x14ac:dyDescent="0.35">
      <c r="A21" s="17" t="s">
        <v>79</v>
      </c>
      <c r="B21" s="11" t="s">
        <v>116</v>
      </c>
      <c r="C21" s="11" t="s">
        <v>61</v>
      </c>
      <c r="D21" s="37">
        <v>45153</v>
      </c>
      <c r="E21" s="11" t="s">
        <v>72</v>
      </c>
      <c r="F21" s="11"/>
      <c r="G21" s="12"/>
    </row>
    <row r="22" spans="1:7" x14ac:dyDescent="0.35">
      <c r="A22" s="17" t="s">
        <v>44</v>
      </c>
      <c r="B22" s="11" t="s">
        <v>117</v>
      </c>
      <c r="C22" s="11" t="s">
        <v>58</v>
      </c>
      <c r="D22" s="32" t="s">
        <v>66</v>
      </c>
      <c r="E22" s="11" t="s">
        <v>118</v>
      </c>
      <c r="F22" s="11"/>
    </row>
    <row r="23" spans="1:7" x14ac:dyDescent="0.35">
      <c r="A23" s="17" t="s">
        <v>14</v>
      </c>
      <c r="B23" s="11" t="s">
        <v>119</v>
      </c>
      <c r="C23" s="11" t="s">
        <v>58</v>
      </c>
      <c r="D23" s="32" t="s">
        <v>120</v>
      </c>
      <c r="E23" s="11" t="s">
        <v>72</v>
      </c>
      <c r="F23" s="11"/>
    </row>
    <row r="24" spans="1:7" x14ac:dyDescent="0.35">
      <c r="A24" s="17" t="s">
        <v>80</v>
      </c>
      <c r="B24" s="11" t="s">
        <v>121</v>
      </c>
      <c r="C24" s="11" t="s">
        <v>58</v>
      </c>
      <c r="D24" s="32">
        <v>10</v>
      </c>
      <c r="E24" s="11" t="s">
        <v>72</v>
      </c>
      <c r="F24" s="11"/>
    </row>
    <row r="25" spans="1:7" x14ac:dyDescent="0.35">
      <c r="A25" s="17" t="s">
        <v>15</v>
      </c>
      <c r="B25" s="11" t="s">
        <v>122</v>
      </c>
      <c r="C25" s="11" t="s">
        <v>58</v>
      </c>
      <c r="D25" s="32" t="s">
        <v>68</v>
      </c>
      <c r="E25" s="11" t="s">
        <v>72</v>
      </c>
      <c r="F25" s="11"/>
    </row>
  </sheetData>
  <hyperlinks>
    <hyperlink ref="F2" r:id="rId1" xr:uid="{3DFC19D3-4C76-4464-92F6-1A46A6853E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21B9-DED9-4670-98DE-E1675FB32EC6}">
  <sheetPr>
    <tabColor theme="9" tint="0.39997558519241921"/>
  </sheetPr>
  <dimension ref="A1:F24"/>
  <sheetViews>
    <sheetView tabSelected="1" workbookViewId="0">
      <selection activeCell="B6" sqref="B6"/>
    </sheetView>
  </sheetViews>
  <sheetFormatPr defaultColWidth="18.08984375" defaultRowHeight="14.5" x14ac:dyDescent="0.35"/>
  <cols>
    <col min="1" max="1" width="37.7265625" style="47" customWidth="1"/>
    <col min="2" max="2" width="93.90625" customWidth="1"/>
    <col min="4" max="4" width="18.08984375" style="33"/>
  </cols>
  <sheetData>
    <row r="1" spans="1:6" x14ac:dyDescent="0.35">
      <c r="A1" s="48" t="s">
        <v>16</v>
      </c>
      <c r="B1" s="20" t="s">
        <v>17</v>
      </c>
      <c r="C1" s="20" t="s">
        <v>18</v>
      </c>
      <c r="D1" s="20" t="s">
        <v>19</v>
      </c>
      <c r="E1" s="13" t="s">
        <v>71</v>
      </c>
      <c r="F1" s="10" t="s">
        <v>156</v>
      </c>
    </row>
    <row r="2" spans="1:6" x14ac:dyDescent="0.35">
      <c r="A2" s="49" t="s">
        <v>11</v>
      </c>
      <c r="B2" s="14" t="s">
        <v>197</v>
      </c>
      <c r="C2" s="14" t="s">
        <v>58</v>
      </c>
      <c r="D2" s="32" t="s">
        <v>178</v>
      </c>
      <c r="E2" s="14"/>
      <c r="F2" s="55" t="s">
        <v>176</v>
      </c>
    </row>
    <row r="3" spans="1:6" x14ac:dyDescent="0.35">
      <c r="A3" s="49" t="s">
        <v>158</v>
      </c>
      <c r="B3" s="24" t="s">
        <v>177</v>
      </c>
      <c r="C3" s="14" t="s">
        <v>58</v>
      </c>
      <c r="D3" s="32" t="s">
        <v>179</v>
      </c>
      <c r="E3" s="14"/>
      <c r="F3" s="14"/>
    </row>
    <row r="4" spans="1:6" x14ac:dyDescent="0.35">
      <c r="A4" s="50" t="s">
        <v>159</v>
      </c>
      <c r="B4" s="14" t="s">
        <v>198</v>
      </c>
      <c r="C4" s="14" t="s">
        <v>57</v>
      </c>
      <c r="D4" s="34">
        <v>70675</v>
      </c>
      <c r="E4" s="14"/>
      <c r="F4" s="14"/>
    </row>
    <row r="5" spans="1:6" x14ac:dyDescent="0.35">
      <c r="A5" s="49" t="s">
        <v>160</v>
      </c>
      <c r="B5" s="24"/>
      <c r="C5" s="14" t="s">
        <v>58</v>
      </c>
      <c r="D5" s="32" t="s">
        <v>180</v>
      </c>
      <c r="E5" s="14"/>
      <c r="F5" s="14"/>
    </row>
    <row r="6" spans="1:6" x14ac:dyDescent="0.35">
      <c r="A6" s="50" t="s">
        <v>161</v>
      </c>
      <c r="B6" s="14" t="s">
        <v>199</v>
      </c>
      <c r="C6" s="14" t="s">
        <v>194</v>
      </c>
      <c r="D6" s="32">
        <v>47218</v>
      </c>
      <c r="E6" s="14"/>
      <c r="F6" s="14"/>
    </row>
    <row r="7" spans="1:6" x14ac:dyDescent="0.35">
      <c r="A7" s="49" t="s">
        <v>162</v>
      </c>
      <c r="B7" s="24"/>
      <c r="C7" s="14" t="s">
        <v>58</v>
      </c>
      <c r="D7" s="32" t="s">
        <v>181</v>
      </c>
      <c r="E7" s="14"/>
      <c r="F7" s="14"/>
    </row>
    <row r="8" spans="1:6" x14ac:dyDescent="0.35">
      <c r="A8" s="50" t="s">
        <v>163</v>
      </c>
      <c r="B8" s="14" t="s">
        <v>200</v>
      </c>
      <c r="C8" s="14" t="s">
        <v>194</v>
      </c>
      <c r="D8" s="32">
        <v>138850</v>
      </c>
      <c r="E8" s="14"/>
      <c r="F8" s="14"/>
    </row>
    <row r="9" spans="1:6" x14ac:dyDescent="0.35">
      <c r="A9" s="49" t="s">
        <v>164</v>
      </c>
      <c r="B9" s="24"/>
      <c r="C9" s="14"/>
      <c r="D9" s="32"/>
      <c r="E9" s="14"/>
      <c r="F9" s="14"/>
    </row>
    <row r="10" spans="1:6" x14ac:dyDescent="0.35">
      <c r="A10" s="50" t="s">
        <v>165</v>
      </c>
      <c r="B10" s="14" t="s">
        <v>201</v>
      </c>
      <c r="C10" s="14" t="s">
        <v>194</v>
      </c>
      <c r="D10" s="32"/>
      <c r="E10" s="14"/>
      <c r="F10" s="14"/>
    </row>
    <row r="11" spans="1:6" x14ac:dyDescent="0.35">
      <c r="A11" s="49" t="s">
        <v>166</v>
      </c>
      <c r="B11" s="14" t="s">
        <v>202</v>
      </c>
      <c r="C11" s="14" t="s">
        <v>58</v>
      </c>
      <c r="D11" s="32" t="s">
        <v>182</v>
      </c>
      <c r="E11" s="14"/>
      <c r="F11" s="14"/>
    </row>
    <row r="12" spans="1:6" x14ac:dyDescent="0.35">
      <c r="A12" s="50" t="s">
        <v>167</v>
      </c>
      <c r="B12" s="14" t="s">
        <v>203</v>
      </c>
      <c r="C12" s="14" t="s">
        <v>194</v>
      </c>
      <c r="D12" s="32">
        <v>16238</v>
      </c>
      <c r="E12" s="14"/>
      <c r="F12" s="14"/>
    </row>
    <row r="13" spans="1:6" x14ac:dyDescent="0.35">
      <c r="A13" s="49" t="s">
        <v>168</v>
      </c>
      <c r="B13" s="14"/>
      <c r="C13" s="14" t="s">
        <v>58</v>
      </c>
      <c r="D13" s="32" t="s">
        <v>183</v>
      </c>
      <c r="E13" s="14"/>
      <c r="F13" s="14"/>
    </row>
    <row r="14" spans="1:6" x14ac:dyDescent="0.35">
      <c r="A14" s="50" t="s">
        <v>169</v>
      </c>
      <c r="B14" s="14" t="s">
        <v>204</v>
      </c>
      <c r="C14" s="14" t="s">
        <v>194</v>
      </c>
      <c r="D14" s="32">
        <v>17000.5</v>
      </c>
      <c r="E14" s="14"/>
      <c r="F14" s="14"/>
    </row>
    <row r="15" spans="1:6" x14ac:dyDescent="0.35">
      <c r="A15" s="49" t="s">
        <v>170</v>
      </c>
      <c r="B15" s="14" t="s">
        <v>213</v>
      </c>
      <c r="C15" s="14" t="s">
        <v>58</v>
      </c>
      <c r="D15" s="32" t="s">
        <v>184</v>
      </c>
      <c r="E15" s="14"/>
      <c r="F15" s="14"/>
    </row>
    <row r="16" spans="1:6" x14ac:dyDescent="0.35">
      <c r="A16" s="50" t="s">
        <v>171</v>
      </c>
      <c r="B16" s="14" t="s">
        <v>212</v>
      </c>
      <c r="C16" s="14" t="s">
        <v>194</v>
      </c>
      <c r="D16" s="32">
        <v>4903.8</v>
      </c>
      <c r="E16" s="14"/>
      <c r="F16" s="14"/>
    </row>
    <row r="17" spans="1:6" x14ac:dyDescent="0.35">
      <c r="A17" s="50" t="s">
        <v>172</v>
      </c>
      <c r="B17" s="14" t="s">
        <v>211</v>
      </c>
      <c r="C17" s="14" t="s">
        <v>194</v>
      </c>
      <c r="D17" s="32">
        <v>294885.3</v>
      </c>
      <c r="E17" s="14"/>
      <c r="F17" s="14"/>
    </row>
    <row r="18" spans="1:6" x14ac:dyDescent="0.35">
      <c r="A18" s="51" t="s">
        <v>173</v>
      </c>
      <c r="B18" s="14" t="s">
        <v>210</v>
      </c>
      <c r="C18" s="14" t="s">
        <v>60</v>
      </c>
      <c r="D18" s="32" t="s">
        <v>185</v>
      </c>
      <c r="E18" s="14"/>
      <c r="F18" s="14"/>
    </row>
    <row r="19" spans="1:6" x14ac:dyDescent="0.35">
      <c r="A19" s="51" t="s">
        <v>12</v>
      </c>
      <c r="B19" s="14" t="s">
        <v>205</v>
      </c>
      <c r="C19" s="14" t="s">
        <v>58</v>
      </c>
      <c r="D19" s="32" t="s">
        <v>186</v>
      </c>
      <c r="E19" s="14"/>
      <c r="F19" s="14"/>
    </row>
    <row r="20" spans="1:6" x14ac:dyDescent="0.35">
      <c r="A20" s="51" t="s">
        <v>174</v>
      </c>
      <c r="B20" s="14" t="s">
        <v>206</v>
      </c>
      <c r="C20" s="14" t="s">
        <v>194</v>
      </c>
      <c r="D20" s="32">
        <v>2</v>
      </c>
      <c r="E20" s="14"/>
      <c r="F20" s="14"/>
    </row>
    <row r="21" spans="1:6" x14ac:dyDescent="0.35">
      <c r="A21" s="52" t="s">
        <v>175</v>
      </c>
      <c r="B21" s="14" t="s">
        <v>207</v>
      </c>
      <c r="C21" s="14" t="s">
        <v>194</v>
      </c>
      <c r="D21" s="32">
        <v>589770.6</v>
      </c>
      <c r="E21" s="14"/>
      <c r="F21" s="14"/>
    </row>
    <row r="22" spans="1:6" x14ac:dyDescent="0.35">
      <c r="A22" s="56" t="s">
        <v>195</v>
      </c>
      <c r="B22" s="39" t="s">
        <v>208</v>
      </c>
      <c r="C22" s="53" t="s">
        <v>194</v>
      </c>
      <c r="D22" s="32">
        <v>589770.6</v>
      </c>
      <c r="E22" s="14"/>
      <c r="F22" s="14"/>
    </row>
    <row r="23" spans="1:6" x14ac:dyDescent="0.35">
      <c r="A23" s="56" t="s">
        <v>196</v>
      </c>
      <c r="B23" s="39" t="s">
        <v>209</v>
      </c>
      <c r="C23" s="53" t="s">
        <v>194</v>
      </c>
      <c r="D23" s="11">
        <v>62645</v>
      </c>
      <c r="E23" s="14"/>
      <c r="F23" s="14"/>
    </row>
    <row r="24" spans="1:6" x14ac:dyDescent="0.35">
      <c r="B24" s="54"/>
    </row>
  </sheetData>
  <hyperlinks>
    <hyperlink ref="F2" r:id="rId1" xr:uid="{4CDE02F9-1EBB-4AB5-83EC-EEF24F17825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9f98df-f7a9-4411-872c-04180796fb94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 - Data</vt:lpstr>
      <vt:lpstr>OB - Data</vt:lpstr>
      <vt:lpstr>MALP List - Data</vt:lpstr>
    </vt:vector>
  </TitlesOfParts>
  <Company>Metso:Outotec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Kumari</dc:creator>
  <cp:lastModifiedBy>PRACHI KUMARI</cp:lastModifiedBy>
  <dcterms:created xsi:type="dcterms:W3CDTF">2025-09-28T14:07:33Z</dcterms:created>
  <dcterms:modified xsi:type="dcterms:W3CDTF">2025-12-17T16:33:49Z</dcterms:modified>
</cp:coreProperties>
</file>